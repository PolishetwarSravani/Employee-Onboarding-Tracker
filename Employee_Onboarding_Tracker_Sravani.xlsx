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polis\Downloads\"/>
    </mc:Choice>
  </mc:AlternateContent>
  <xr:revisionPtr revIDLastSave="0" documentId="13_ncr:1_{8DE66867-C49F-4A8D-B025-89B115937C09}" xr6:coauthVersionLast="47" xr6:coauthVersionMax="47" xr10:uidLastSave="{00000000-0000-0000-0000-000000000000}"/>
  <bookViews>
    <workbookView xWindow="-108" yWindow="-108" windowWidth="23256" windowHeight="12456" activeTab="2" xr2:uid="{00000000-000D-0000-FFFF-FFFF00000000}"/>
  </bookViews>
  <sheets>
    <sheet name="ReadMe" sheetId="3" r:id="rId1"/>
    <sheet name="Dashboard" sheetId="2" r:id="rId2"/>
    <sheet name="OnboardingData" sheetId="1" r:id="rId3"/>
  </sheets>
  <definedNames>
    <definedName name="Slicer_Department">#N/A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1" l="1"/>
  <c r="E16" i="1"/>
  <c r="E17" i="1"/>
  <c r="E18" i="1"/>
  <c r="E19" i="1"/>
  <c r="F19" i="1" s="1"/>
  <c r="E20" i="1"/>
  <c r="F20" i="1"/>
  <c r="E21" i="1"/>
  <c r="E2" i="1"/>
  <c r="E3" i="1"/>
  <c r="E4" i="1"/>
  <c r="E5" i="1"/>
  <c r="E6" i="1"/>
  <c r="E7" i="1"/>
  <c r="E8" i="1"/>
  <c r="E9" i="1"/>
  <c r="E10" i="1"/>
  <c r="E11" i="1"/>
  <c r="E12" i="1"/>
  <c r="E13" i="1"/>
  <c r="E14" i="1"/>
  <c r="F6" i="1"/>
  <c r="F7" i="1"/>
  <c r="F8" i="1"/>
  <c r="N2" i="1"/>
  <c r="B6" i="2"/>
  <c r="N3" i="1"/>
  <c r="N4" i="1"/>
  <c r="N5" i="1"/>
  <c r="F5" i="1" s="1"/>
  <c r="N6" i="1"/>
  <c r="N7" i="1"/>
  <c r="N8" i="1"/>
  <c r="N9" i="1"/>
  <c r="F9" i="1" s="1"/>
  <c r="N10" i="1"/>
  <c r="F10" i="1" s="1"/>
  <c r="N11" i="1"/>
  <c r="N12" i="1"/>
  <c r="N13" i="1"/>
  <c r="N14" i="1"/>
  <c r="N15" i="1"/>
  <c r="F15" i="1" s="1"/>
  <c r="N16" i="1"/>
  <c r="F16" i="1" s="1"/>
  <c r="N17" i="1"/>
  <c r="F17" i="1" s="1"/>
  <c r="N18" i="1"/>
  <c r="F18" i="1" s="1"/>
  <c r="N19" i="1"/>
  <c r="N20" i="1"/>
  <c r="N21" i="1"/>
  <c r="F21" i="1" s="1"/>
  <c r="F12" i="1" l="1"/>
  <c r="F11" i="1"/>
  <c r="F4" i="1"/>
  <c r="F2" i="1"/>
  <c r="F3" i="1"/>
  <c r="F14" i="1"/>
  <c r="F13" i="1"/>
  <c r="B39" i="2"/>
  <c r="B7" i="2"/>
  <c r="B9" i="2" s="1"/>
  <c r="B8" i="2"/>
  <c r="A39" i="2"/>
</calcChain>
</file>

<file path=xl/sharedStrings.xml><?xml version="1.0" encoding="utf-8"?>
<sst xmlns="http://schemas.openxmlformats.org/spreadsheetml/2006/main" count="263" uniqueCount="115">
  <si>
    <t>Employee ID</t>
  </si>
  <si>
    <t>Employee Name</t>
  </si>
  <si>
    <t>Department</t>
  </si>
  <si>
    <t>Joining Date</t>
  </si>
  <si>
    <t>Email Created (Y/N)</t>
  </si>
  <si>
    <t>Laptop Issued (Y/N)</t>
  </si>
  <si>
    <t>ID Card Created (Y/N)</t>
  </si>
  <si>
    <t>Orientation Completed (Y/N)</t>
  </si>
  <si>
    <t>Buddy Assigned (Y/N)</t>
  </si>
  <si>
    <t>HR Form Submitted (Y/N)</t>
  </si>
  <si>
    <t>Remarks</t>
  </si>
  <si>
    <t>Status</t>
  </si>
  <si>
    <t>EMP001</t>
  </si>
  <si>
    <t>EMP002</t>
  </si>
  <si>
    <t>EMP003</t>
  </si>
  <si>
    <t>EMP004</t>
  </si>
  <si>
    <t>EMP005</t>
  </si>
  <si>
    <t>EMP006</t>
  </si>
  <si>
    <t>EMP007</t>
  </si>
  <si>
    <t>EMP008</t>
  </si>
  <si>
    <t>EMP009</t>
  </si>
  <si>
    <t>EMP010</t>
  </si>
  <si>
    <t>EMP011</t>
  </si>
  <si>
    <t>EMP012</t>
  </si>
  <si>
    <t>EMP013</t>
  </si>
  <si>
    <t>EMP014</t>
  </si>
  <si>
    <t>EMP015</t>
  </si>
  <si>
    <t>EMP016</t>
  </si>
  <si>
    <t>EMP017</t>
  </si>
  <si>
    <t>EMP018</t>
  </si>
  <si>
    <t>EMP019</t>
  </si>
  <si>
    <t>EMP020</t>
  </si>
  <si>
    <t>Amit Sharma</t>
  </si>
  <si>
    <t>Priya Nair</t>
  </si>
  <si>
    <t>Rohit Verma</t>
  </si>
  <si>
    <t>Neha Patel</t>
  </si>
  <si>
    <t>Kiran Reddy</t>
  </si>
  <si>
    <t>Rahul Mehta</t>
  </si>
  <si>
    <t>Anjali Das</t>
  </si>
  <si>
    <t>Suresh Kumar</t>
  </si>
  <si>
    <t>Divya Singh</t>
  </si>
  <si>
    <t>Manish Tiwari</t>
  </si>
  <si>
    <t>Sneha Iyer</t>
  </si>
  <si>
    <t>Arjun Ramesh</t>
  </si>
  <si>
    <t>Meena Joseph</t>
  </si>
  <si>
    <t>Ravi Teja</t>
  </si>
  <si>
    <t>Kavya Rao</t>
  </si>
  <si>
    <t>Vinay Sharma</t>
  </si>
  <si>
    <t>Deepika Reddy</t>
  </si>
  <si>
    <t>Harish Nair</t>
  </si>
  <si>
    <t>Swathi Gupta</t>
  </si>
  <si>
    <t>Akash Mishra</t>
  </si>
  <si>
    <t>Finance</t>
  </si>
  <si>
    <t>IT</t>
  </si>
  <si>
    <t>HR</t>
  </si>
  <si>
    <t>Marketing</t>
  </si>
  <si>
    <t>Operations</t>
  </si>
  <si>
    <t>2025-01-05</t>
  </si>
  <si>
    <t>2025-01-10</t>
  </si>
  <si>
    <t>2025-01-12</t>
  </si>
  <si>
    <t>2025-01-15</t>
  </si>
  <si>
    <t>2025-01-20</t>
  </si>
  <si>
    <t>2025-01-22</t>
  </si>
  <si>
    <t>2025-01-23</t>
  </si>
  <si>
    <t>2025-01-25</t>
  </si>
  <si>
    <t>2025-01-28</t>
  </si>
  <si>
    <t>2025-01-30</t>
  </si>
  <si>
    <t>2025-02-01</t>
  </si>
  <si>
    <t>2025-02-03</t>
  </si>
  <si>
    <t>2025-02-05</t>
  </si>
  <si>
    <t>2025-02-07</t>
  </si>
  <si>
    <t>2025-02-10</t>
  </si>
  <si>
    <t>2025-02-12</t>
  </si>
  <si>
    <t>2025-02-15</t>
  </si>
  <si>
    <t>2025-02-18</t>
  </si>
  <si>
    <t>2025-02-20</t>
  </si>
  <si>
    <t>2025-02-22</t>
  </si>
  <si>
    <t>Yes</t>
  </si>
  <si>
    <t>No</t>
  </si>
  <si>
    <t>All set</t>
  </si>
  <si>
    <t>Pending laptop</t>
  </si>
  <si>
    <t>Email access pending</t>
  </si>
  <si>
    <t>ID Card in process</t>
  </si>
  <si>
    <t>Orientation not done</t>
  </si>
  <si>
    <t>Pending HR form</t>
  </si>
  <si>
    <t>Email setup pending</t>
  </si>
  <si>
    <t>Laptop pending</t>
  </si>
  <si>
    <t>Orientation scheduled</t>
  </si>
  <si>
    <t>Email and laptop pending</t>
  </si>
  <si>
    <t>All done</t>
  </si>
  <si>
    <t>ID card pending</t>
  </si>
  <si>
    <t>Pending email creation</t>
  </si>
  <si>
    <t>Email pending</t>
  </si>
  <si>
    <t>Orientation complete</t>
  </si>
  <si>
    <t>Completed</t>
  </si>
  <si>
    <t>Pending</t>
  </si>
  <si>
    <t>Dashboard - Onboarding Summary</t>
  </si>
  <si>
    <t>Total Employees</t>
  </si>
  <si>
    <t>%Completion</t>
  </si>
  <si>
    <t>Grand Total</t>
  </si>
  <si>
    <t>Count of Employee ID</t>
  </si>
  <si>
    <t>Departments</t>
  </si>
  <si>
    <t/>
  </si>
  <si>
    <t>Expected Completion Date</t>
  </si>
  <si>
    <t>Delay Flag</t>
  </si>
  <si>
    <t>Employee Onboarding Tracker – Project Overview</t>
  </si>
  <si>
    <t>This Excel tracker monitors the onboarding process of employees across departments.</t>
  </si>
  <si>
    <t>It automates status updates, tracks expected completion dates, and highlights overdue tasks.</t>
  </si>
  <si>
    <t>A dashboard summarizes completion rates, pending cases, and department-wise status.</t>
  </si>
  <si>
    <t>How to use:</t>
  </si>
  <si>
    <t>1. Update Yes/No values in the main sheet as tasks are completed.</t>
  </si>
  <si>
    <t>2. Dashboard and charts auto-refresh with the new data.</t>
  </si>
  <si>
    <t>3. Filter by department or delay flag to review specific cases.</t>
  </si>
  <si>
    <t>Employee Onboarding Tracker - by Sravani Polishetwar</t>
  </si>
  <si>
    <t>Created as part of Deloitee CoAE role preparation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</si>
</sst>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sz val="8"/>
      <name val="Calibri"/>
      <family val="2"/>
      <scheme val="minor"/>
    </font>
    <font>
      <b/>
      <sz val="18"/>
      <color theme="5" tint="-0.249977111117893"/>
      <name val="Cambria"/>
      <family val="1"/>
      <scheme val="major"/>
    </font>
    <font>
      <b/>
      <sz val="13"/>
      <color theme="1"/>
      <name val="Calibri"/>
      <family val="2"/>
      <scheme val="minor"/>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thick">
        <color theme="4" tint="0.499984740745262"/>
      </bottom>
      <diagonal/>
    </border>
    <border>
      <left style="thin">
        <color auto="1"/>
      </left>
      <right style="thin">
        <color auto="1"/>
      </right>
      <top/>
      <bottom style="thin">
        <color auto="1"/>
      </bottom>
      <diagonal/>
    </border>
  </borders>
  <cellStyleXfs count="5">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cellStyleXfs>
  <cellXfs count="13">
    <xf numFmtId="0" fontId="0" fillId="0" borderId="0" xfId="0"/>
    <xf numFmtId="0" fontId="1" fillId="0" borderId="0" xfId="0" applyFont="1"/>
    <xf numFmtId="0" fontId="1" fillId="0" borderId="3" xfId="0" applyFont="1" applyBorder="1" applyAlignment="1">
      <alignment horizontal="center" vertical="top"/>
    </xf>
    <xf numFmtId="9" fontId="0" fillId="0" borderId="0" xfId="1" applyFont="1"/>
    <xf numFmtId="0" fontId="0" fillId="0" borderId="0" xfId="0" pivotButton="1"/>
    <xf numFmtId="0" fontId="0" fillId="0" borderId="0" xfId="0" applyAlignment="1">
      <alignment horizontal="left"/>
    </xf>
    <xf numFmtId="0" fontId="3" fillId="0" borderId="0" xfId="2"/>
    <xf numFmtId="0" fontId="0" fillId="0" borderId="0" xfId="0" applyAlignment="1">
      <alignment horizontal="center"/>
    </xf>
    <xf numFmtId="164" fontId="0" fillId="0" borderId="0" xfId="0" applyNumberFormat="1" applyAlignment="1">
      <alignment horizontal="center"/>
    </xf>
    <xf numFmtId="0" fontId="1" fillId="0" borderId="3" xfId="0" applyFont="1" applyBorder="1" applyAlignment="1">
      <alignment horizontal="left" vertical="top"/>
    </xf>
    <xf numFmtId="0" fontId="4" fillId="0" borderId="1" xfId="3"/>
    <xf numFmtId="0" fontId="7" fillId="0" borderId="0" xfId="2" applyFont="1"/>
    <xf numFmtId="0" fontId="8" fillId="0" borderId="2" xfId="4" applyFont="1"/>
  </cellXfs>
  <cellStyles count="5">
    <cellStyle name="Heading 1" xfId="3" builtinId="16"/>
    <cellStyle name="Heading 2" xfId="4" builtinId="17"/>
    <cellStyle name="Normal" xfId="0" builtinId="0"/>
    <cellStyle name="Percent" xfId="1" builtinId="5"/>
    <cellStyle name="Title" xfId="2" builtinId="15"/>
  </cellStyles>
  <dxfs count="23">
    <dxf>
      <font>
        <color rgb="FF006100"/>
      </font>
      <fill>
        <patternFill>
          <bgColor rgb="FFC6EFCE"/>
        </patternFill>
      </fill>
    </dxf>
    <dxf>
      <font>
        <color rgb="FF9C0006"/>
      </font>
      <fill>
        <patternFill>
          <bgColor rgb="FFFFC7CE"/>
        </patternFill>
      </fill>
    </dxf>
    <dxf>
      <font>
        <b/>
        <i val="0"/>
      </font>
      <numFmt numFmtId="30" formatCode="@"/>
      <fill>
        <patternFill>
          <bgColor rgb="FFFF0000"/>
        </patternFill>
      </fill>
    </dxf>
    <dxf>
      <font>
        <color rgb="FF006100"/>
      </font>
      <fill>
        <patternFill>
          <bgColor rgb="FFC6EFCE"/>
        </patternFill>
      </fill>
    </dxf>
    <dxf>
      <font>
        <color rgb="FF9C0006"/>
      </font>
      <fill>
        <patternFill>
          <bgColor rgb="FFFFC7CE"/>
        </patternFill>
      </fill>
    </dxf>
    <dxf>
      <alignment horizontal="center" textRotation="0" wrapText="0" indent="0" justifyLastLine="0" shrinkToFit="0" readingOrder="0"/>
    </dxf>
    <dxf>
      <alignment horizontal="left"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4" formatCode="[$-14009]yyyy/mm/dd;@"/>
      <alignment horizontal="center" textRotation="0" wrapText="0" indent="0" justifyLastLine="0" shrinkToFit="0" readingOrder="0"/>
    </dxf>
    <dxf>
      <numFmt numFmtId="164" formatCode="[$-14009]yyyy/mm/dd;@"/>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border outline="0">
        <top style="thin">
          <color auto="1"/>
        </top>
      </border>
    </dxf>
    <dxf>
      <alignment horizont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[Employee_Onboarding_Tracker_Sravani.xlsx]Dashboard!PivotTable1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Department -wise Onboarding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Dashboard!$B$12:$B$13</c:f>
              <c:strCache>
                <c:ptCount val="1"/>
                <c:pt idx="0">
                  <c:v>Completed</c:v>
                </c:pt>
              </c:strCache>
            </c:strRef>
          </c:tx>
          <c:spPr>
            <a:solidFill>
              <a:schemeClr val="accent1"/>
            </a:solidFill>
            <a:ln>
              <a:noFill/>
            </a:ln>
            <a:effectLst/>
          </c:spPr>
          <c:invertIfNegative val="0"/>
          <c:cat>
            <c:strRef>
              <c:f>Dashboard!$A$14:$A$19</c:f>
              <c:strCache>
                <c:ptCount val="5"/>
                <c:pt idx="0">
                  <c:v>Finance</c:v>
                </c:pt>
                <c:pt idx="1">
                  <c:v>HR</c:v>
                </c:pt>
                <c:pt idx="2">
                  <c:v>IT</c:v>
                </c:pt>
                <c:pt idx="3">
                  <c:v>Marketing</c:v>
                </c:pt>
                <c:pt idx="4">
                  <c:v>Operations</c:v>
                </c:pt>
              </c:strCache>
            </c:strRef>
          </c:cat>
          <c:val>
            <c:numRef>
              <c:f>Dashboard!$B$14:$B$19</c:f>
              <c:numCache>
                <c:formatCode>General</c:formatCode>
                <c:ptCount val="5"/>
                <c:pt idx="0">
                  <c:v>2</c:v>
                </c:pt>
                <c:pt idx="2">
                  <c:v>1</c:v>
                </c:pt>
              </c:numCache>
            </c:numRef>
          </c:val>
          <c:extLst>
            <c:ext xmlns:c16="http://schemas.microsoft.com/office/drawing/2014/chart" uri="{C3380CC4-5D6E-409C-BE32-E72D297353CC}">
              <c16:uniqueId val="{00000000-736C-46A3-8426-8EDBFEE5CDAA}"/>
            </c:ext>
          </c:extLst>
        </c:ser>
        <c:ser>
          <c:idx val="1"/>
          <c:order val="1"/>
          <c:tx>
            <c:strRef>
              <c:f>Dashboard!$C$12:$C$13</c:f>
              <c:strCache>
                <c:ptCount val="1"/>
                <c:pt idx="0">
                  <c:v>Pending</c:v>
                </c:pt>
              </c:strCache>
            </c:strRef>
          </c:tx>
          <c:spPr>
            <a:solidFill>
              <a:schemeClr val="accent2"/>
            </a:solidFill>
            <a:ln>
              <a:noFill/>
            </a:ln>
            <a:effectLst/>
          </c:spPr>
          <c:invertIfNegative val="0"/>
          <c:cat>
            <c:strRef>
              <c:f>Dashboard!$A$14:$A$19</c:f>
              <c:strCache>
                <c:ptCount val="5"/>
                <c:pt idx="0">
                  <c:v>Finance</c:v>
                </c:pt>
                <c:pt idx="1">
                  <c:v>HR</c:v>
                </c:pt>
                <c:pt idx="2">
                  <c:v>IT</c:v>
                </c:pt>
                <c:pt idx="3">
                  <c:v>Marketing</c:v>
                </c:pt>
                <c:pt idx="4">
                  <c:v>Operations</c:v>
                </c:pt>
              </c:strCache>
            </c:strRef>
          </c:cat>
          <c:val>
            <c:numRef>
              <c:f>Dashboard!$C$14:$C$19</c:f>
              <c:numCache>
                <c:formatCode>General</c:formatCode>
                <c:ptCount val="5"/>
                <c:pt idx="0">
                  <c:v>2</c:v>
                </c:pt>
                <c:pt idx="1">
                  <c:v>4</c:v>
                </c:pt>
                <c:pt idx="2">
                  <c:v>3</c:v>
                </c:pt>
                <c:pt idx="3">
                  <c:v>4</c:v>
                </c:pt>
                <c:pt idx="4">
                  <c:v>4</c:v>
                </c:pt>
              </c:numCache>
            </c:numRef>
          </c:val>
          <c:extLst>
            <c:ext xmlns:c16="http://schemas.microsoft.com/office/drawing/2014/chart" uri="{C3380CC4-5D6E-409C-BE32-E72D297353CC}">
              <c16:uniqueId val="{00000004-736C-46A3-8426-8EDBFEE5CDAA}"/>
            </c:ext>
          </c:extLst>
        </c:ser>
        <c:dLbls>
          <c:showLegendKey val="0"/>
          <c:showVal val="0"/>
          <c:showCatName val="0"/>
          <c:showSerName val="0"/>
          <c:showPercent val="0"/>
          <c:showBubbleSize val="0"/>
        </c:dLbls>
        <c:gapWidth val="219"/>
        <c:overlap val="-27"/>
        <c:axId val="1824080111"/>
        <c:axId val="1824081071"/>
      </c:barChart>
      <c:catAx>
        <c:axId val="18240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081071"/>
        <c:crosses val="autoZero"/>
        <c:auto val="1"/>
        <c:lblAlgn val="ctr"/>
        <c:lblOffset val="100"/>
        <c:noMultiLvlLbl val="0"/>
      </c:catAx>
      <c:valAx>
        <c:axId val="182408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0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Overall</a:t>
            </a:r>
            <a:r>
              <a:rPr lang="en-IN" baseline="0"/>
              <a:t> Onboarding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4F-4350-849E-46B7C34ADB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4F-4350-849E-46B7C34ADB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Dashboard!$A$38:$B$38</c:f>
              <c:strCache>
                <c:ptCount val="2"/>
                <c:pt idx="0">
                  <c:v>Completed</c:v>
                </c:pt>
                <c:pt idx="1">
                  <c:v>Pending</c:v>
                </c:pt>
              </c:strCache>
            </c:strRef>
          </c:cat>
          <c:val>
            <c:numRef>
              <c:f>Dashboard!$A$39:$B$39</c:f>
              <c:numCache>
                <c:formatCode>General</c:formatCode>
                <c:ptCount val="2"/>
                <c:pt idx="0">
                  <c:v>5</c:v>
                </c:pt>
                <c:pt idx="1">
                  <c:v>15</c:v>
                </c:pt>
              </c:numCache>
            </c:numRef>
          </c:val>
          <c:extLst>
            <c:ext xmlns:c16="http://schemas.microsoft.com/office/drawing/2014/chart" uri="{C3380CC4-5D6E-409C-BE32-E72D297353CC}">
              <c16:uniqueId val="{00000000-6BCA-435C-8232-5C25CAC178E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579120</xdr:colOff>
      <xdr:row>5</xdr:row>
      <xdr:rowOff>34290</xdr:rowOff>
    </xdr:from>
    <xdr:to>
      <xdr:col>17</xdr:col>
      <xdr:colOff>342900</xdr:colOff>
      <xdr:row>18</xdr:row>
      <xdr:rowOff>152400</xdr:rowOff>
    </xdr:to>
    <xdr:graphicFrame macro="">
      <xdr:nvGraphicFramePr>
        <xdr:cNvPr id="2" name="Chart 1">
          <a:extLst>
            <a:ext uri="{FF2B5EF4-FFF2-40B4-BE49-F238E27FC236}">
              <a16:creationId xmlns:a16="http://schemas.microsoft.com/office/drawing/2014/main" id="{170B0B65-3D3D-E29C-6AAE-49B90EAE9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396240</xdr:colOff>
      <xdr:row>5</xdr:row>
      <xdr:rowOff>34290</xdr:rowOff>
    </xdr:from>
    <xdr:to>
      <xdr:col>22</xdr:col>
      <xdr:colOff>152400</xdr:colOff>
      <xdr:row>18</xdr:row>
      <xdr:rowOff>129540</xdr:rowOff>
    </xdr:to>
    <xdr:graphicFrame macro="">
      <xdr:nvGraphicFramePr>
        <xdr:cNvPr id="5" name="Chart 4">
          <a:extLst>
            <a:ext uri="{FF2B5EF4-FFF2-40B4-BE49-F238E27FC236}">
              <a16:creationId xmlns:a16="http://schemas.microsoft.com/office/drawing/2014/main" id="{6B0ABB26-4D33-B3C6-4621-4A18330CF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281940</xdr:colOff>
      <xdr:row>5</xdr:row>
      <xdr:rowOff>60960</xdr:rowOff>
    </xdr:from>
    <xdr:to>
      <xdr:col>7</xdr:col>
      <xdr:colOff>281940</xdr:colOff>
      <xdr:row>18</xdr:row>
      <xdr:rowOff>150495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99BF6C14-992F-F15E-6485-2931A4014A8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604260" y="1165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5</xdr:row>
      <xdr:rowOff>53340</xdr:rowOff>
    </xdr:from>
    <xdr:to>
      <xdr:col>10</xdr:col>
      <xdr:colOff>419100</xdr:colOff>
      <xdr:row>18</xdr:row>
      <xdr:rowOff>142875</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B4CFE715-1389-AC4C-952B-022831C2956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57022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lishetwar Sravani" refreshedDate="45972.501018055555" createdVersion="8" refreshedVersion="8" minRefreshableVersion="3" recordCount="20" xr:uid="{DDFE3C21-8A01-428B-9522-6E947BC8110C}">
  <cacheSource type="worksheet">
    <worksheetSource name="OnboardingData"/>
  </cacheSource>
  <cacheFields count="12">
    <cacheField name="Employee ID" numFmtId="0">
      <sharedItems count="20">
        <s v="EMP001"/>
        <s v="EMP002"/>
        <s v="EMP003"/>
        <s v="EMP004"/>
        <s v="EMP005"/>
        <s v="EMP006"/>
        <s v="EMP007"/>
        <s v="EMP008"/>
        <s v="EMP009"/>
        <s v="EMP010"/>
        <s v="EMP011"/>
        <s v="EMP012"/>
        <s v="EMP013"/>
        <s v="EMP014"/>
        <s v="EMP015"/>
        <s v="EMP016"/>
        <s v="EMP017"/>
        <s v="EMP018"/>
        <s v="EMP019"/>
        <s v="EMP020"/>
      </sharedItems>
    </cacheField>
    <cacheField name="Employee Name" numFmtId="0">
      <sharedItems/>
    </cacheField>
    <cacheField name="Department" numFmtId="0">
      <sharedItems count="5">
        <s v="Finance"/>
        <s v="IT"/>
        <s v="HR"/>
        <s v="Marketing"/>
        <s v="Operations"/>
      </sharedItems>
    </cacheField>
    <cacheField name="Joining Date" numFmtId="0">
      <sharedItems/>
    </cacheField>
    <cacheField name="Email Created (Y/N)" numFmtId="0">
      <sharedItems/>
    </cacheField>
    <cacheField name="Laptop Issued (Y/N)" numFmtId="0">
      <sharedItems/>
    </cacheField>
    <cacheField name="ID Card Created (Y/N)" numFmtId="0">
      <sharedItems/>
    </cacheField>
    <cacheField name="Orientation Completed (Y/N)" numFmtId="0">
      <sharedItems/>
    </cacheField>
    <cacheField name="Buddy Assigned (Y/N)" numFmtId="0">
      <sharedItems/>
    </cacheField>
    <cacheField name="HR Form Submitted (Y/N)" numFmtId="0">
      <sharedItems/>
    </cacheField>
    <cacheField name="Remarks" numFmtId="0">
      <sharedItems/>
    </cacheField>
    <cacheField name="Status" numFmtId="0">
      <sharedItems count="2">
        <s v="Completed"/>
        <s v="Pending"/>
      </sharedItems>
    </cacheField>
  </cacheFields>
  <extLst>
    <ext xmlns:x14="http://schemas.microsoft.com/office/spreadsheetml/2009/9/main" uri="{725AE2AE-9491-48be-B2B4-4EB974FC3084}">
      <x14:pivotCacheDefinition pivotCacheId="1338900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Amit Sharma"/>
    <x v="0"/>
    <s v="2025-01-05"/>
    <s v="Yes"/>
    <s v="Yes"/>
    <s v="Yes"/>
    <s v="Yes"/>
    <s v="Yes"/>
    <s v="Yes"/>
    <s v="All set"/>
    <x v="0"/>
  </r>
  <r>
    <x v="1"/>
    <s v="Priya Nair"/>
    <x v="1"/>
    <s v="2025-01-10"/>
    <s v="Yes"/>
    <s v="No"/>
    <s v="Yes"/>
    <s v="No"/>
    <s v="Yes"/>
    <s v="No"/>
    <s v="Pending laptop"/>
    <x v="1"/>
  </r>
  <r>
    <x v="2"/>
    <s v="Rohit Verma"/>
    <x v="2"/>
    <s v="2025-01-12"/>
    <s v="No"/>
    <s v="No"/>
    <s v="Yes"/>
    <s v="No"/>
    <s v="No"/>
    <s v="No"/>
    <s v="Email access pending"/>
    <x v="1"/>
  </r>
  <r>
    <x v="3"/>
    <s v="Neha Patel"/>
    <x v="3"/>
    <s v="2025-01-15"/>
    <s v="Yes"/>
    <s v="Yes"/>
    <s v="No"/>
    <s v="Yes"/>
    <s v="Yes"/>
    <s v="Yes"/>
    <s v="ID Card in process"/>
    <x v="1"/>
  </r>
  <r>
    <x v="4"/>
    <s v="Kiran Reddy"/>
    <x v="4"/>
    <s v="2025-01-20"/>
    <s v="No"/>
    <s v="Yes"/>
    <s v="No"/>
    <s v="No"/>
    <s v="Yes"/>
    <s v="Yes"/>
    <s v="Orientation not done"/>
    <x v="1"/>
  </r>
  <r>
    <x v="5"/>
    <s v="Rahul Mehta"/>
    <x v="0"/>
    <s v="2025-01-22"/>
    <s v="Yes"/>
    <s v="No"/>
    <s v="Yes"/>
    <s v="Yes"/>
    <s v="Yes"/>
    <s v="Yes"/>
    <s v="Pending laptop"/>
    <x v="1"/>
  </r>
  <r>
    <x v="6"/>
    <s v="Anjali Das"/>
    <x v="2"/>
    <s v="2025-01-23"/>
    <s v="Yes"/>
    <s v="Yes"/>
    <s v="No"/>
    <s v="Yes"/>
    <s v="Yes"/>
    <s v="No"/>
    <s v="Pending HR form"/>
    <x v="1"/>
  </r>
  <r>
    <x v="7"/>
    <s v="Suresh Kumar"/>
    <x v="4"/>
    <s v="2025-01-25"/>
    <s v="No"/>
    <s v="No"/>
    <s v="Yes"/>
    <s v="No"/>
    <s v="No"/>
    <s v="Yes"/>
    <s v="Email setup pending"/>
    <x v="1"/>
  </r>
  <r>
    <x v="8"/>
    <s v="Divya Singh"/>
    <x v="1"/>
    <s v="2025-01-28"/>
    <s v="Yes"/>
    <s v="Yes"/>
    <s v="Yes"/>
    <s v="Yes"/>
    <s v="Yes"/>
    <s v="Yes"/>
    <s v="All set"/>
    <x v="0"/>
  </r>
  <r>
    <x v="9"/>
    <s v="Manish Tiwari"/>
    <x v="3"/>
    <s v="2025-01-30"/>
    <s v="No"/>
    <s v="Yes"/>
    <s v="No"/>
    <s v="Yes"/>
    <s v="Yes"/>
    <s v="No"/>
    <s v="Laptop pending"/>
    <x v="1"/>
  </r>
  <r>
    <x v="10"/>
    <s v="Sneha Iyer"/>
    <x v="0"/>
    <s v="2025-02-01"/>
    <s v="Yes"/>
    <s v="No"/>
    <s v="Yes"/>
    <s v="No"/>
    <s v="Yes"/>
    <s v="Yes"/>
    <s v="Orientation scheduled"/>
    <x v="1"/>
  </r>
  <r>
    <x v="11"/>
    <s v="Arjun Ramesh"/>
    <x v="1"/>
    <s v="2025-02-03"/>
    <s v="No"/>
    <s v="No"/>
    <s v="Yes"/>
    <s v="No"/>
    <s v="No"/>
    <s v="Yes"/>
    <s v="Email and laptop pending"/>
    <x v="1"/>
  </r>
  <r>
    <x v="12"/>
    <s v="Meena Joseph"/>
    <x v="4"/>
    <s v="2025-02-05"/>
    <s v="Yes"/>
    <s v="Yes"/>
    <s v="Yes"/>
    <s v="Yes"/>
    <s v="Yes"/>
    <s v="No"/>
    <s v="All done"/>
    <x v="1"/>
  </r>
  <r>
    <x v="13"/>
    <s v="Ravi Teja"/>
    <x v="2"/>
    <s v="2025-02-07"/>
    <s v="Yes"/>
    <s v="Yes"/>
    <s v="No"/>
    <s v="Yes"/>
    <s v="No"/>
    <s v="Yes"/>
    <s v="ID card pending"/>
    <x v="1"/>
  </r>
  <r>
    <x v="14"/>
    <s v="Kavya Rao"/>
    <x v="3"/>
    <s v="2025-02-10"/>
    <s v="No"/>
    <s v="No"/>
    <s v="Yes"/>
    <s v="No"/>
    <s v="Yes"/>
    <s v="Yes"/>
    <s v="Pending email creation"/>
    <x v="1"/>
  </r>
  <r>
    <x v="15"/>
    <s v="Vinay Sharma"/>
    <x v="4"/>
    <s v="2025-02-12"/>
    <s v="Yes"/>
    <s v="Yes"/>
    <s v="Yes"/>
    <s v="Yes"/>
    <s v="Yes"/>
    <s v="No"/>
    <s v="All done"/>
    <x v="1"/>
  </r>
  <r>
    <x v="16"/>
    <s v="Deepika Reddy"/>
    <x v="0"/>
    <s v="2025-02-15"/>
    <s v="Yes"/>
    <s v="Yes"/>
    <s v="Yes"/>
    <s v="Yes"/>
    <s v="Yes"/>
    <s v="Yes"/>
    <s v="All done"/>
    <x v="0"/>
  </r>
  <r>
    <x v="17"/>
    <s v="Harish Nair"/>
    <x v="1"/>
    <s v="2025-02-18"/>
    <s v="No"/>
    <s v="No"/>
    <s v="Yes"/>
    <s v="No"/>
    <s v="Yes"/>
    <s v="Yes"/>
    <s v="Email pending"/>
    <x v="1"/>
  </r>
  <r>
    <x v="18"/>
    <s v="Swathi Gupta"/>
    <x v="2"/>
    <s v="2025-02-20"/>
    <s v="Yes"/>
    <s v="Yes"/>
    <s v="No"/>
    <s v="Yes"/>
    <s v="Yes"/>
    <s v="No"/>
    <s v="Pending HR form"/>
    <x v="1"/>
  </r>
  <r>
    <x v="19"/>
    <s v="Akash Mishra"/>
    <x v="3"/>
    <s v="2025-02-22"/>
    <s v="No"/>
    <s v="Yes"/>
    <s v="Yes"/>
    <s v="Yes"/>
    <s v="No"/>
    <s v="Yes"/>
    <s v="Orientation complet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93E7E-8B49-4219-BC96-496EAA6AF2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partments" colHeaderCaption="">
  <location ref="A12:D19" firstHeaderRow="1" firstDataRow="2" firstDataCol="1"/>
  <pivotFields count="12">
    <pivotField dataField="1"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6">
        <item x="0"/>
        <item x="2"/>
        <item x="1"/>
        <item x="3"/>
        <item x="4"/>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6">
    <i>
      <x/>
    </i>
    <i>
      <x v="1"/>
    </i>
    <i>
      <x v="2"/>
    </i>
    <i>
      <x v="3"/>
    </i>
    <i>
      <x v="4"/>
    </i>
    <i t="grand">
      <x/>
    </i>
  </rowItems>
  <colFields count="1">
    <field x="11"/>
  </colFields>
  <colItems count="3">
    <i>
      <x/>
    </i>
    <i>
      <x v="1"/>
    </i>
    <i t="grand">
      <x/>
    </i>
  </colItems>
  <dataFields count="1">
    <dataField name="Count of Employee ID" fld="0" subtotal="count" baseField="0" baseItem="0"/>
  </dataFields>
  <chartFormats count="5">
    <chartFormat chart="5" format="2" series="1">
      <pivotArea type="data" outline="0" fieldPosition="0">
        <references count="1">
          <reference field="11" count="1" selected="0">
            <x v="0"/>
          </reference>
        </references>
      </pivotArea>
    </chartFormat>
    <chartFormat chart="5" format="3" series="1">
      <pivotArea type="data" outline="0" fieldPosition="0">
        <references count="1">
          <reference field="11" count="1" selected="0">
            <x v="1"/>
          </reference>
        </references>
      </pivotArea>
    </chartFormat>
    <chartFormat chart="5" format="4" series="1">
      <pivotArea type="data" outline="0" fieldPosition="0">
        <references count="2">
          <reference field="4294967294" count="1" selected="0">
            <x v="0"/>
          </reference>
          <reference field="11"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03FF83-D689-4F9C-A3E9-340E1EBDBB4B}" sourceName="Department">
  <pivotTables>
    <pivotTable tabId="2" name="PivotTable1"/>
  </pivotTables>
  <data>
    <tabular pivotCacheId="1338900172">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663F5F3-3B05-4A2C-BDB1-9C29E1943E70}" sourceName="Status">
  <pivotTables>
    <pivotTable tabId="2" name="PivotTable1"/>
  </pivotTables>
  <data>
    <tabular pivotCacheId="133890017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2D8C5F1-127B-4C7D-AE50-16366282B852}" cache="Slicer_Department" caption="Department" rowHeight="234950"/>
  <slicer name="Status" xr10:uid="{56BD59DF-A5A1-43A2-BA3B-04D0B520E588}"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FEFAD3-9D03-4F52-8DAA-4819ABDA705B}" name="OnboardingData" displayName="OnboardingData" ref="A1:N21" totalsRowShown="0" headerRowDxfId="22" dataDxfId="20" headerRowBorderDxfId="21" tableBorderDxfId="19">
  <tableColumns count="14">
    <tableColumn id="1" xr3:uid="{6B4E15BA-B760-4D4C-8F95-7BCF1544E71A}" name="Employee ID" dataDxfId="18"/>
    <tableColumn id="2" xr3:uid="{D841EEC3-5BA7-42B5-BF3E-6E38FE73F4F4}" name="Employee Name" dataDxfId="17"/>
    <tableColumn id="3" xr3:uid="{086094BF-C159-4EF7-8F8D-2727CEFD314F}" name="Department" dataDxfId="16"/>
    <tableColumn id="4" xr3:uid="{DC4D6B6A-652D-449A-81AA-66467EA01E47}" name="Joining Date" dataDxfId="15"/>
    <tableColumn id="15" xr3:uid="{0AD1CBB1-60A9-4AA4-B366-8A7033A957A1}" name="Expected Completion Date" dataDxfId="14">
      <calculatedColumnFormula>OnboardingData[[#This Row],[Joining Date]]+7</calculatedColumnFormula>
    </tableColumn>
    <tableColumn id="16" xr3:uid="{FCD501F4-58CA-4F8D-B3FE-9880A868940A}" name="Delay Flag" dataDxfId="13">
      <calculatedColumnFormula>IF(AND(OnboardingData[[#This Row],[Status]]="Pending", TODAY()&gt;OnboardingData[[#This Row],[Expected Completion Date]]), "Overdue", "On Track")</calculatedColumnFormula>
    </tableColumn>
    <tableColumn id="5" xr3:uid="{2C69BA4D-D325-4A3C-AEAB-94EC1BE50C6B}" name="Email Created (Y/N)" dataDxfId="12"/>
    <tableColumn id="6" xr3:uid="{A3A5B5D4-2D5B-4F3D-8637-B8B7FF003D23}" name="Laptop Issued (Y/N)" dataDxfId="11"/>
    <tableColumn id="7" xr3:uid="{B9CFA7FE-75BD-4301-8938-75E663F846A1}" name="ID Card Created (Y/N)" dataDxfId="10"/>
    <tableColumn id="8" xr3:uid="{C496BA7C-B9ED-4254-B408-EC69C42098FA}" name="Orientation Completed (Y/N)" dataDxfId="9"/>
    <tableColumn id="9" xr3:uid="{4A82087B-EF2F-4723-AA11-D45C4DF5BF10}" name="Buddy Assigned (Y/N)" dataDxfId="8"/>
    <tableColumn id="10" xr3:uid="{69E42653-8C45-4BF5-90F9-5FA76156C634}" name="HR Form Submitted (Y/N)" dataDxfId="7"/>
    <tableColumn id="11" xr3:uid="{8EDD7B5E-8778-4DE7-9840-D46160277364}" name="Remarks" dataDxfId="6"/>
    <tableColumn id="12" xr3:uid="{12B0924E-34FC-4F97-9437-A60666224EA4}" name="Status" dataDxfId="5">
      <calculatedColumnFormula>IF(AND(
G2="Yes",
H2="Yes",
I2="Yes",
J2="Yes",
K2="Yes",
L2="Yes"),
"Completed","Pending")</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0C8C3-BBC2-45F8-B912-53020042F22A}">
  <dimension ref="A1:A10"/>
  <sheetViews>
    <sheetView showGridLines="0" workbookViewId="0">
      <selection activeCell="A7" sqref="A7"/>
    </sheetView>
  </sheetViews>
  <sheetFormatPr defaultRowHeight="14.4" x14ac:dyDescent="0.3"/>
  <sheetData>
    <row r="1" spans="1:1" ht="22.8" x14ac:dyDescent="0.4">
      <c r="A1" s="6" t="s">
        <v>105</v>
      </c>
    </row>
    <row r="3" spans="1:1" x14ac:dyDescent="0.3">
      <c r="A3" t="s">
        <v>106</v>
      </c>
    </row>
    <row r="4" spans="1:1" x14ac:dyDescent="0.3">
      <c r="A4" t="s">
        <v>107</v>
      </c>
    </row>
    <row r="5" spans="1:1" x14ac:dyDescent="0.3">
      <c r="A5" t="s">
        <v>108</v>
      </c>
    </row>
    <row r="7" spans="1:1" ht="20.399999999999999" thickBot="1" x14ac:dyDescent="0.45">
      <c r="A7" s="10" t="s">
        <v>109</v>
      </c>
    </row>
    <row r="8" spans="1:1" ht="15" thickTop="1" x14ac:dyDescent="0.3">
      <c r="A8" t="s">
        <v>110</v>
      </c>
    </row>
    <row r="9" spans="1:1" x14ac:dyDescent="0.3">
      <c r="A9" t="s">
        <v>111</v>
      </c>
    </row>
    <row r="10" spans="1:1" x14ac:dyDescent="0.3">
      <c r="A10"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115E-F062-44AD-B8C9-FB7E6F9F3386}">
  <dimension ref="A1:F39"/>
  <sheetViews>
    <sheetView showGridLines="0" workbookViewId="0">
      <selection activeCell="A25" sqref="A25"/>
    </sheetView>
  </sheetViews>
  <sheetFormatPr defaultRowHeight="14.4" x14ac:dyDescent="0.3"/>
  <cols>
    <col min="1" max="1" width="19.5546875" bestFit="1" customWidth="1"/>
    <col min="2" max="2" width="10.21875" bestFit="1" customWidth="1"/>
    <col min="3" max="3" width="7.88671875" bestFit="1" customWidth="1"/>
    <col min="4" max="4" width="10.77734375" bestFit="1" customWidth="1"/>
  </cols>
  <sheetData>
    <row r="1" spans="1:6" ht="22.8" x14ac:dyDescent="0.4">
      <c r="A1" s="6"/>
      <c r="F1" s="11" t="s">
        <v>113</v>
      </c>
    </row>
    <row r="4" spans="1:6" ht="20.399999999999999" thickBot="1" x14ac:dyDescent="0.45">
      <c r="A4" s="10" t="s">
        <v>96</v>
      </c>
    </row>
    <row r="5" spans="1:6" ht="15" thickTop="1" x14ac:dyDescent="0.3"/>
    <row r="6" spans="1:6" x14ac:dyDescent="0.3">
      <c r="A6" s="1" t="s">
        <v>97</v>
      </c>
      <c r="B6">
        <f>ROWS(OnboardingData[Employee ID])</f>
        <v>20</v>
      </c>
    </row>
    <row r="7" spans="1:6" x14ac:dyDescent="0.3">
      <c r="A7" s="1" t="s">
        <v>94</v>
      </c>
      <c r="B7">
        <f>COUNTIF(OnboardingData[Status],"Completed")</f>
        <v>5</v>
      </c>
    </row>
    <row r="8" spans="1:6" x14ac:dyDescent="0.3">
      <c r="A8" s="1" t="s">
        <v>95</v>
      </c>
      <c r="B8">
        <f>COUNTIF(OnboardingData[Status],"Pending")</f>
        <v>15</v>
      </c>
    </row>
    <row r="9" spans="1:6" x14ac:dyDescent="0.3">
      <c r="A9" s="1" t="s">
        <v>98</v>
      </c>
      <c r="B9" s="3">
        <f>(B7/B6)</f>
        <v>0.25</v>
      </c>
    </row>
    <row r="12" spans="1:6" x14ac:dyDescent="0.3">
      <c r="A12" s="4" t="s">
        <v>100</v>
      </c>
      <c r="B12" s="4" t="s">
        <v>102</v>
      </c>
    </row>
    <row r="13" spans="1:6" x14ac:dyDescent="0.3">
      <c r="A13" s="4" t="s">
        <v>101</v>
      </c>
      <c r="B13" t="s">
        <v>94</v>
      </c>
      <c r="C13" t="s">
        <v>95</v>
      </c>
      <c r="D13" t="s">
        <v>99</v>
      </c>
    </row>
    <row r="14" spans="1:6" x14ac:dyDescent="0.3">
      <c r="A14" s="5" t="s">
        <v>52</v>
      </c>
      <c r="B14">
        <v>2</v>
      </c>
      <c r="C14">
        <v>2</v>
      </c>
      <c r="D14">
        <v>4</v>
      </c>
    </row>
    <row r="15" spans="1:6" x14ac:dyDescent="0.3">
      <c r="A15" s="5" t="s">
        <v>54</v>
      </c>
      <c r="C15">
        <v>4</v>
      </c>
      <c r="D15">
        <v>4</v>
      </c>
    </row>
    <row r="16" spans="1:6" x14ac:dyDescent="0.3">
      <c r="A16" s="5" t="s">
        <v>53</v>
      </c>
      <c r="B16">
        <v>1</v>
      </c>
      <c r="C16">
        <v>3</v>
      </c>
      <c r="D16">
        <v>4</v>
      </c>
    </row>
    <row r="17" spans="1:4" x14ac:dyDescent="0.3">
      <c r="A17" s="5" t="s">
        <v>55</v>
      </c>
      <c r="C17">
        <v>4</v>
      </c>
      <c r="D17">
        <v>4</v>
      </c>
    </row>
    <row r="18" spans="1:4" x14ac:dyDescent="0.3">
      <c r="A18" s="5" t="s">
        <v>56</v>
      </c>
      <c r="C18">
        <v>4</v>
      </c>
      <c r="D18">
        <v>4</v>
      </c>
    </row>
    <row r="19" spans="1:4" x14ac:dyDescent="0.3">
      <c r="A19" s="5" t="s">
        <v>99</v>
      </c>
      <c r="B19">
        <v>3</v>
      </c>
      <c r="C19">
        <v>17</v>
      </c>
      <c r="D19">
        <v>20</v>
      </c>
    </row>
    <row r="25" spans="1:4" ht="18" thickBot="1" x14ac:dyDescent="0.4">
      <c r="A25" s="12" t="s">
        <v>114</v>
      </c>
    </row>
    <row r="26" spans="1:4" ht="15" thickTop="1" x14ac:dyDescent="0.3"/>
    <row r="38" spans="1:2" x14ac:dyDescent="0.3">
      <c r="A38" t="s">
        <v>94</v>
      </c>
      <c r="B38" t="s">
        <v>95</v>
      </c>
    </row>
    <row r="39" spans="1:2" x14ac:dyDescent="0.3">
      <c r="A39">
        <f>COUNTIF(OnboardingData[Status],"Completed")</f>
        <v>5</v>
      </c>
      <c r="B39">
        <f>COUNTIF(OnboardingData[Status],"Pending")</f>
        <v>15</v>
      </c>
    </row>
  </sheetData>
  <conditionalFormatting sqref="A9">
    <cfRule type="dataBar" priority="1">
      <dataBar>
        <cfvo type="min"/>
        <cfvo type="max"/>
        <color rgb="FF63C384"/>
      </dataBar>
      <extLst>
        <ext xmlns:x14="http://schemas.microsoft.com/office/spreadsheetml/2009/9/main" uri="{B025F937-C7B1-47D3-B67F-A62EFF666E3E}">
          <x14:id>{999CEE41-7EF9-45F2-8295-DAE961C78377}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999CEE41-7EF9-45F2-8295-DAE961C78377}">
            <x14:dataBar minLength="0" maxLength="100" gradient="0">
              <x14:cfvo type="autoMin"/>
              <x14:cfvo type="autoMax"/>
              <x14:negativeFillColor rgb="FFFF0000"/>
              <x14:axisColor rgb="FF000000"/>
            </x14:dataBar>
          </x14:cfRule>
          <xm:sqref>A9</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pane ySplit="1" topLeftCell="A2" activePane="bottomLeft" state="frozen"/>
      <selection pane="bottomLeft" activeCell="G1" sqref="G1"/>
    </sheetView>
  </sheetViews>
  <sheetFormatPr defaultRowHeight="14.4" x14ac:dyDescent="0.3"/>
  <cols>
    <col min="1" max="1" width="13.44140625" customWidth="1"/>
    <col min="2" max="2" width="16.6640625" customWidth="1"/>
    <col min="3" max="3" width="13" customWidth="1"/>
    <col min="4" max="4" width="13.109375" customWidth="1"/>
    <col min="5" max="5" width="19.44140625" customWidth="1"/>
    <col min="6" max="6" width="19.5546875" customWidth="1"/>
    <col min="7" max="7" width="21" customWidth="1"/>
    <col min="8" max="8" width="27.109375" customWidth="1"/>
    <col min="9" max="9" width="21.21875" customWidth="1"/>
    <col min="10" max="10" width="24.21875" customWidth="1"/>
    <col min="11" max="11" width="10.109375" customWidth="1"/>
    <col min="12" max="12" width="10.33203125" bestFit="1" customWidth="1"/>
    <col min="13" max="14" width="16.77734375" bestFit="1" customWidth="1"/>
  </cols>
  <sheetData>
    <row r="1" spans="1:14" x14ac:dyDescent="0.3">
      <c r="A1" s="2" t="s">
        <v>0</v>
      </c>
      <c r="B1" s="2" t="s">
        <v>1</v>
      </c>
      <c r="C1" s="2" t="s">
        <v>2</v>
      </c>
      <c r="D1" s="2" t="s">
        <v>3</v>
      </c>
      <c r="E1" s="2" t="s">
        <v>103</v>
      </c>
      <c r="F1" s="2" t="s">
        <v>104</v>
      </c>
      <c r="G1" s="2" t="s">
        <v>4</v>
      </c>
      <c r="H1" s="2" t="s">
        <v>5</v>
      </c>
      <c r="I1" s="2" t="s">
        <v>6</v>
      </c>
      <c r="J1" s="2" t="s">
        <v>7</v>
      </c>
      <c r="K1" s="2" t="s">
        <v>8</v>
      </c>
      <c r="L1" s="2" t="s">
        <v>9</v>
      </c>
      <c r="M1" s="9" t="s">
        <v>10</v>
      </c>
      <c r="N1" s="2" t="s">
        <v>11</v>
      </c>
    </row>
    <row r="2" spans="1:14" x14ac:dyDescent="0.3">
      <c r="A2" s="7" t="s">
        <v>12</v>
      </c>
      <c r="B2" s="7" t="s">
        <v>32</v>
      </c>
      <c r="C2" s="7" t="s">
        <v>52</v>
      </c>
      <c r="D2" s="7" t="s">
        <v>57</v>
      </c>
      <c r="E2" s="8">
        <f>OnboardingData[[#This Row],[Joining Date]]+7</f>
        <v>45669</v>
      </c>
      <c r="F2" s="7" t="str">
        <f ca="1">IF(AND(OnboardingData[[#This Row],[Status]]="Pending", TODAY()&gt;OnboardingData[[#This Row],[Expected Completion Date]]), "Overdue", "On Track")</f>
        <v>On Track</v>
      </c>
      <c r="G2" s="7" t="s">
        <v>77</v>
      </c>
      <c r="H2" s="7" t="s">
        <v>77</v>
      </c>
      <c r="I2" s="7" t="s">
        <v>77</v>
      </c>
      <c r="J2" s="7" t="s">
        <v>77</v>
      </c>
      <c r="K2" s="7" t="s">
        <v>77</v>
      </c>
      <c r="L2" s="7" t="s">
        <v>77</v>
      </c>
      <c r="M2" s="5" t="s">
        <v>79</v>
      </c>
      <c r="N2" s="7" t="str">
        <f t="shared" ref="N2:N21" si="0">IF(AND(
G2="Yes",
H2="Yes",
I2="Yes",
J2="Yes",
K2="Yes",
L2="Yes"),
"Completed","Pending")</f>
        <v>Completed</v>
      </c>
    </row>
    <row r="3" spans="1:14" x14ac:dyDescent="0.3">
      <c r="A3" s="7" t="s">
        <v>13</v>
      </c>
      <c r="B3" s="7" t="s">
        <v>33</v>
      </c>
      <c r="C3" s="7" t="s">
        <v>53</v>
      </c>
      <c r="D3" s="7" t="s">
        <v>58</v>
      </c>
      <c r="E3" s="8">
        <f>OnboardingData[[#This Row],[Joining Date]]+7</f>
        <v>45674</v>
      </c>
      <c r="F3" s="7" t="str">
        <f ca="1">IF(AND(OnboardingData[[#This Row],[Status]]="Pending", TODAY()&gt;OnboardingData[[#This Row],[Expected Completion Date]]), "Overdue", "On Track")</f>
        <v>Overdue</v>
      </c>
      <c r="G3" s="7" t="s">
        <v>77</v>
      </c>
      <c r="H3" s="7" t="s">
        <v>78</v>
      </c>
      <c r="I3" s="7" t="s">
        <v>77</v>
      </c>
      <c r="J3" s="7" t="s">
        <v>78</v>
      </c>
      <c r="K3" s="7" t="s">
        <v>77</v>
      </c>
      <c r="L3" s="7" t="s">
        <v>78</v>
      </c>
      <c r="M3" s="5" t="s">
        <v>80</v>
      </c>
      <c r="N3" s="7" t="str">
        <f t="shared" si="0"/>
        <v>Pending</v>
      </c>
    </row>
    <row r="4" spans="1:14" x14ac:dyDescent="0.3">
      <c r="A4" s="7" t="s">
        <v>14</v>
      </c>
      <c r="B4" s="7" t="s">
        <v>34</v>
      </c>
      <c r="C4" s="7" t="s">
        <v>54</v>
      </c>
      <c r="D4" s="7" t="s">
        <v>59</v>
      </c>
      <c r="E4" s="8">
        <f>OnboardingData[[#This Row],[Joining Date]]+7</f>
        <v>45676</v>
      </c>
      <c r="F4" s="7" t="str">
        <f ca="1">IF(AND(OnboardingData[[#This Row],[Status]]="Pending", TODAY()&gt;OnboardingData[[#This Row],[Expected Completion Date]]), "Overdue", "On Track")</f>
        <v>Overdue</v>
      </c>
      <c r="G4" s="7" t="s">
        <v>78</v>
      </c>
      <c r="H4" s="7" t="s">
        <v>78</v>
      </c>
      <c r="I4" s="7" t="s">
        <v>77</v>
      </c>
      <c r="J4" s="7" t="s">
        <v>78</v>
      </c>
      <c r="K4" s="7" t="s">
        <v>78</v>
      </c>
      <c r="L4" s="7" t="s">
        <v>78</v>
      </c>
      <c r="M4" s="5" t="s">
        <v>81</v>
      </c>
      <c r="N4" s="7" t="str">
        <f t="shared" si="0"/>
        <v>Pending</v>
      </c>
    </row>
    <row r="5" spans="1:14" x14ac:dyDescent="0.3">
      <c r="A5" s="7" t="s">
        <v>15</v>
      </c>
      <c r="B5" s="7" t="s">
        <v>35</v>
      </c>
      <c r="C5" s="7" t="s">
        <v>55</v>
      </c>
      <c r="D5" s="7" t="s">
        <v>60</v>
      </c>
      <c r="E5" s="8">
        <f>OnboardingData[[#This Row],[Joining Date]]+7</f>
        <v>45679</v>
      </c>
      <c r="F5" s="7" t="str">
        <f ca="1">IF(AND(OnboardingData[[#This Row],[Status]]="Pending", TODAY()&gt;OnboardingData[[#This Row],[Expected Completion Date]]), "Overdue", "On Track")</f>
        <v>Overdue</v>
      </c>
      <c r="G5" s="7" t="s">
        <v>77</v>
      </c>
      <c r="H5" s="7" t="s">
        <v>77</v>
      </c>
      <c r="I5" s="7" t="s">
        <v>78</v>
      </c>
      <c r="J5" s="7" t="s">
        <v>77</v>
      </c>
      <c r="K5" s="7" t="s">
        <v>77</v>
      </c>
      <c r="L5" s="7" t="s">
        <v>77</v>
      </c>
      <c r="M5" s="5" t="s">
        <v>82</v>
      </c>
      <c r="N5" s="7" t="str">
        <f t="shared" si="0"/>
        <v>Pending</v>
      </c>
    </row>
    <row r="6" spans="1:14" x14ac:dyDescent="0.3">
      <c r="A6" s="7" t="s">
        <v>16</v>
      </c>
      <c r="B6" s="7" t="s">
        <v>36</v>
      </c>
      <c r="C6" s="7" t="s">
        <v>56</v>
      </c>
      <c r="D6" s="7" t="s">
        <v>61</v>
      </c>
      <c r="E6" s="8">
        <f>OnboardingData[[#This Row],[Joining Date]]+7</f>
        <v>45684</v>
      </c>
      <c r="F6" s="7" t="str">
        <f ca="1">IF(AND(OnboardingData[[#This Row],[Status]]="Pending", TODAY()&gt;OnboardingData[[#This Row],[Expected Completion Date]]), "Overdue", "On Track")</f>
        <v>Overdue</v>
      </c>
      <c r="G6" s="7" t="s">
        <v>78</v>
      </c>
      <c r="H6" s="7" t="s">
        <v>77</v>
      </c>
      <c r="I6" s="7" t="s">
        <v>78</v>
      </c>
      <c r="J6" s="7" t="s">
        <v>78</v>
      </c>
      <c r="K6" s="7" t="s">
        <v>77</v>
      </c>
      <c r="L6" s="7" t="s">
        <v>77</v>
      </c>
      <c r="M6" s="5" t="s">
        <v>83</v>
      </c>
      <c r="N6" s="7" t="str">
        <f t="shared" si="0"/>
        <v>Pending</v>
      </c>
    </row>
    <row r="7" spans="1:14" x14ac:dyDescent="0.3">
      <c r="A7" s="7" t="s">
        <v>17</v>
      </c>
      <c r="B7" s="7" t="s">
        <v>37</v>
      </c>
      <c r="C7" s="7" t="s">
        <v>52</v>
      </c>
      <c r="D7" s="7" t="s">
        <v>62</v>
      </c>
      <c r="E7" s="8">
        <f>OnboardingData[[#This Row],[Joining Date]]+7</f>
        <v>45686</v>
      </c>
      <c r="F7" s="7" t="str">
        <f ca="1">IF(AND(OnboardingData[[#This Row],[Status]]="Pending", TODAY()&gt;OnboardingData[[#This Row],[Expected Completion Date]]), "Overdue", "On Track")</f>
        <v>Overdue</v>
      </c>
      <c r="G7" s="7" t="s">
        <v>77</v>
      </c>
      <c r="H7" s="7" t="s">
        <v>78</v>
      </c>
      <c r="I7" s="7" t="s">
        <v>77</v>
      </c>
      <c r="J7" s="7" t="s">
        <v>77</v>
      </c>
      <c r="K7" s="7" t="s">
        <v>77</v>
      </c>
      <c r="L7" s="7" t="s">
        <v>77</v>
      </c>
      <c r="M7" s="5" t="s">
        <v>80</v>
      </c>
      <c r="N7" s="7" t="str">
        <f t="shared" si="0"/>
        <v>Pending</v>
      </c>
    </row>
    <row r="8" spans="1:14" x14ac:dyDescent="0.3">
      <c r="A8" s="7" t="s">
        <v>18</v>
      </c>
      <c r="B8" s="7" t="s">
        <v>38</v>
      </c>
      <c r="C8" s="7" t="s">
        <v>54</v>
      </c>
      <c r="D8" s="7" t="s">
        <v>63</v>
      </c>
      <c r="E8" s="8">
        <f>OnboardingData[[#This Row],[Joining Date]]+7</f>
        <v>45687</v>
      </c>
      <c r="F8" s="7" t="str">
        <f ca="1">IF(AND(OnboardingData[[#This Row],[Status]]="Pending", TODAY()&gt;OnboardingData[[#This Row],[Expected Completion Date]]), "Overdue", "On Track")</f>
        <v>Overdue</v>
      </c>
      <c r="G8" s="7" t="s">
        <v>77</v>
      </c>
      <c r="H8" s="7" t="s">
        <v>77</v>
      </c>
      <c r="I8" s="7" t="s">
        <v>78</v>
      </c>
      <c r="J8" s="7" t="s">
        <v>77</v>
      </c>
      <c r="K8" s="7" t="s">
        <v>77</v>
      </c>
      <c r="L8" s="7" t="s">
        <v>78</v>
      </c>
      <c r="M8" s="5" t="s">
        <v>84</v>
      </c>
      <c r="N8" s="7" t="str">
        <f t="shared" si="0"/>
        <v>Pending</v>
      </c>
    </row>
    <row r="9" spans="1:14" x14ac:dyDescent="0.3">
      <c r="A9" s="7" t="s">
        <v>19</v>
      </c>
      <c r="B9" s="7" t="s">
        <v>39</v>
      </c>
      <c r="C9" s="7" t="s">
        <v>56</v>
      </c>
      <c r="D9" s="7" t="s">
        <v>64</v>
      </c>
      <c r="E9" s="8">
        <f>OnboardingData[[#This Row],[Joining Date]]+7</f>
        <v>45689</v>
      </c>
      <c r="F9" s="7" t="str">
        <f ca="1">IF(AND(OnboardingData[[#This Row],[Status]]="Pending", TODAY()&gt;OnboardingData[[#This Row],[Expected Completion Date]]), "Overdue", "On Track")</f>
        <v>Overdue</v>
      </c>
      <c r="G9" s="7" t="s">
        <v>78</v>
      </c>
      <c r="H9" s="7" t="s">
        <v>78</v>
      </c>
      <c r="I9" s="7" t="s">
        <v>77</v>
      </c>
      <c r="J9" s="7" t="s">
        <v>78</v>
      </c>
      <c r="K9" s="7" t="s">
        <v>78</v>
      </c>
      <c r="L9" s="7" t="s">
        <v>77</v>
      </c>
      <c r="M9" s="5" t="s">
        <v>85</v>
      </c>
      <c r="N9" s="7" t="str">
        <f t="shared" si="0"/>
        <v>Pending</v>
      </c>
    </row>
    <row r="10" spans="1:14" x14ac:dyDescent="0.3">
      <c r="A10" s="7" t="s">
        <v>20</v>
      </c>
      <c r="B10" s="7" t="s">
        <v>40</v>
      </c>
      <c r="C10" s="7" t="s">
        <v>53</v>
      </c>
      <c r="D10" s="7" t="s">
        <v>65</v>
      </c>
      <c r="E10" s="8">
        <f>OnboardingData[[#This Row],[Joining Date]]+7</f>
        <v>45692</v>
      </c>
      <c r="F10" s="7" t="str">
        <f ca="1">IF(AND(OnboardingData[[#This Row],[Status]]="Pending", TODAY()&gt;OnboardingData[[#This Row],[Expected Completion Date]]), "Overdue", "On Track")</f>
        <v>On Track</v>
      </c>
      <c r="G10" s="7" t="s">
        <v>77</v>
      </c>
      <c r="H10" s="7" t="s">
        <v>77</v>
      </c>
      <c r="I10" s="7" t="s">
        <v>77</v>
      </c>
      <c r="J10" s="7" t="s">
        <v>77</v>
      </c>
      <c r="K10" s="7" t="s">
        <v>77</v>
      </c>
      <c r="L10" s="7" t="s">
        <v>77</v>
      </c>
      <c r="M10" s="5" t="s">
        <v>79</v>
      </c>
      <c r="N10" s="7" t="str">
        <f t="shared" si="0"/>
        <v>Completed</v>
      </c>
    </row>
    <row r="11" spans="1:14" x14ac:dyDescent="0.3">
      <c r="A11" s="7" t="s">
        <v>21</v>
      </c>
      <c r="B11" s="7" t="s">
        <v>41</v>
      </c>
      <c r="C11" s="7" t="s">
        <v>55</v>
      </c>
      <c r="D11" s="7" t="s">
        <v>66</v>
      </c>
      <c r="E11" s="8">
        <f>OnboardingData[[#This Row],[Joining Date]]+7</f>
        <v>45694</v>
      </c>
      <c r="F11" s="7" t="str">
        <f ca="1">IF(AND(OnboardingData[[#This Row],[Status]]="Pending", TODAY()&gt;OnboardingData[[#This Row],[Expected Completion Date]]), "Overdue", "On Track")</f>
        <v>Overdue</v>
      </c>
      <c r="G11" s="7" t="s">
        <v>78</v>
      </c>
      <c r="H11" s="7" t="s">
        <v>77</v>
      </c>
      <c r="I11" s="7" t="s">
        <v>78</v>
      </c>
      <c r="J11" s="7" t="s">
        <v>77</v>
      </c>
      <c r="K11" s="7" t="s">
        <v>77</v>
      </c>
      <c r="L11" s="7" t="s">
        <v>78</v>
      </c>
      <c r="M11" s="5" t="s">
        <v>86</v>
      </c>
      <c r="N11" s="7" t="str">
        <f t="shared" si="0"/>
        <v>Pending</v>
      </c>
    </row>
    <row r="12" spans="1:14" x14ac:dyDescent="0.3">
      <c r="A12" s="7" t="s">
        <v>22</v>
      </c>
      <c r="B12" s="7" t="s">
        <v>42</v>
      </c>
      <c r="C12" s="7" t="s">
        <v>52</v>
      </c>
      <c r="D12" s="7" t="s">
        <v>67</v>
      </c>
      <c r="E12" s="8">
        <f>OnboardingData[[#This Row],[Joining Date]]+7</f>
        <v>45696</v>
      </c>
      <c r="F12" s="7" t="str">
        <f ca="1">IF(AND(OnboardingData[[#This Row],[Status]]="Pending", TODAY()&gt;OnboardingData[[#This Row],[Expected Completion Date]]), "Overdue", "On Track")</f>
        <v>Overdue</v>
      </c>
      <c r="G12" s="7" t="s">
        <v>77</v>
      </c>
      <c r="H12" s="7" t="s">
        <v>78</v>
      </c>
      <c r="I12" s="7" t="s">
        <v>77</v>
      </c>
      <c r="J12" s="7" t="s">
        <v>78</v>
      </c>
      <c r="K12" s="7" t="s">
        <v>77</v>
      </c>
      <c r="L12" s="7" t="s">
        <v>77</v>
      </c>
      <c r="M12" s="5" t="s">
        <v>87</v>
      </c>
      <c r="N12" s="7" t="str">
        <f t="shared" si="0"/>
        <v>Pending</v>
      </c>
    </row>
    <row r="13" spans="1:14" x14ac:dyDescent="0.3">
      <c r="A13" s="7" t="s">
        <v>23</v>
      </c>
      <c r="B13" s="7" t="s">
        <v>43</v>
      </c>
      <c r="C13" s="7" t="s">
        <v>53</v>
      </c>
      <c r="D13" s="7" t="s">
        <v>68</v>
      </c>
      <c r="E13" s="8">
        <f>OnboardingData[[#This Row],[Joining Date]]+7</f>
        <v>45698</v>
      </c>
      <c r="F13" s="7" t="str">
        <f ca="1">IF(AND(OnboardingData[[#This Row],[Status]]="Pending", TODAY()&gt;OnboardingData[[#This Row],[Expected Completion Date]]), "Overdue", "On Track")</f>
        <v>Overdue</v>
      </c>
      <c r="G13" s="7" t="s">
        <v>78</v>
      </c>
      <c r="H13" s="7" t="s">
        <v>78</v>
      </c>
      <c r="I13" s="7" t="s">
        <v>77</v>
      </c>
      <c r="J13" s="7" t="s">
        <v>78</v>
      </c>
      <c r="K13" s="7" t="s">
        <v>78</v>
      </c>
      <c r="L13" s="7" t="s">
        <v>77</v>
      </c>
      <c r="M13" s="5" t="s">
        <v>88</v>
      </c>
      <c r="N13" s="7" t="str">
        <f t="shared" si="0"/>
        <v>Pending</v>
      </c>
    </row>
    <row r="14" spans="1:14" x14ac:dyDescent="0.3">
      <c r="A14" s="7" t="s">
        <v>24</v>
      </c>
      <c r="B14" s="7" t="s">
        <v>44</v>
      </c>
      <c r="C14" s="7" t="s">
        <v>56</v>
      </c>
      <c r="D14" s="7" t="s">
        <v>69</v>
      </c>
      <c r="E14" s="8">
        <f>OnboardingData[[#This Row],[Joining Date]]+7</f>
        <v>45700</v>
      </c>
      <c r="F14" s="7" t="str">
        <f ca="1">IF(AND(OnboardingData[[#This Row],[Status]]="Pending", TODAY()&gt;OnboardingData[[#This Row],[Expected Completion Date]]), "Overdue", "On Track")</f>
        <v>On Track</v>
      </c>
      <c r="G14" s="7" t="s">
        <v>77</v>
      </c>
      <c r="H14" s="7" t="s">
        <v>77</v>
      </c>
      <c r="I14" s="7" t="s">
        <v>77</v>
      </c>
      <c r="J14" s="7" t="s">
        <v>77</v>
      </c>
      <c r="K14" s="7" t="s">
        <v>77</v>
      </c>
      <c r="L14" s="7" t="s">
        <v>77</v>
      </c>
      <c r="M14" s="5" t="s">
        <v>89</v>
      </c>
      <c r="N14" s="7" t="str">
        <f t="shared" si="0"/>
        <v>Completed</v>
      </c>
    </row>
    <row r="15" spans="1:14" x14ac:dyDescent="0.3">
      <c r="A15" s="7" t="s">
        <v>25</v>
      </c>
      <c r="B15" s="7" t="s">
        <v>45</v>
      </c>
      <c r="C15" s="7" t="s">
        <v>54</v>
      </c>
      <c r="D15" s="7" t="s">
        <v>70</v>
      </c>
      <c r="E15" s="8">
        <f>OnboardingData[[#This Row],[Joining Date]]+7</f>
        <v>45702</v>
      </c>
      <c r="F15" s="7" t="str">
        <f ca="1">IF(AND(OnboardingData[[#This Row],[Status]]="Pending", TODAY()&gt;OnboardingData[[#This Row],[Expected Completion Date]]), "Overdue", "On Track")</f>
        <v>Overdue</v>
      </c>
      <c r="G15" s="7" t="s">
        <v>77</v>
      </c>
      <c r="H15" s="7" t="s">
        <v>77</v>
      </c>
      <c r="I15" s="7" t="s">
        <v>78</v>
      </c>
      <c r="J15" s="7" t="s">
        <v>77</v>
      </c>
      <c r="K15" s="7" t="s">
        <v>78</v>
      </c>
      <c r="L15" s="7" t="s">
        <v>77</v>
      </c>
      <c r="M15" s="5" t="s">
        <v>90</v>
      </c>
      <c r="N15" s="7" t="str">
        <f t="shared" si="0"/>
        <v>Pending</v>
      </c>
    </row>
    <row r="16" spans="1:14" x14ac:dyDescent="0.3">
      <c r="A16" s="7" t="s">
        <v>26</v>
      </c>
      <c r="B16" s="7" t="s">
        <v>46</v>
      </c>
      <c r="C16" s="7" t="s">
        <v>55</v>
      </c>
      <c r="D16" s="7" t="s">
        <v>71</v>
      </c>
      <c r="E16" s="8">
        <f>OnboardingData[[#This Row],[Joining Date]]+7</f>
        <v>45705</v>
      </c>
      <c r="F16" s="7" t="str">
        <f ca="1">IF(AND(OnboardingData[[#This Row],[Status]]="Pending", TODAY()&gt;OnboardingData[[#This Row],[Expected Completion Date]]), "Overdue", "On Track")</f>
        <v>Overdue</v>
      </c>
      <c r="G16" s="7" t="s">
        <v>78</v>
      </c>
      <c r="H16" s="7" t="s">
        <v>78</v>
      </c>
      <c r="I16" s="7" t="s">
        <v>77</v>
      </c>
      <c r="J16" s="7" t="s">
        <v>78</v>
      </c>
      <c r="K16" s="7" t="s">
        <v>77</v>
      </c>
      <c r="L16" s="7" t="s">
        <v>77</v>
      </c>
      <c r="M16" s="5" t="s">
        <v>91</v>
      </c>
      <c r="N16" s="7" t="str">
        <f t="shared" si="0"/>
        <v>Pending</v>
      </c>
    </row>
    <row r="17" spans="1:14" x14ac:dyDescent="0.3">
      <c r="A17" s="7" t="s">
        <v>27</v>
      </c>
      <c r="B17" s="7" t="s">
        <v>47</v>
      </c>
      <c r="C17" s="7" t="s">
        <v>56</v>
      </c>
      <c r="D17" s="7" t="s">
        <v>72</v>
      </c>
      <c r="E17" s="8">
        <f>OnboardingData[[#This Row],[Joining Date]]+7</f>
        <v>45707</v>
      </c>
      <c r="F17" s="7" t="str">
        <f ca="1">IF(AND(OnboardingData[[#This Row],[Status]]="Pending", TODAY()&gt;OnboardingData[[#This Row],[Expected Completion Date]]), "Overdue", "On Track")</f>
        <v>On Track</v>
      </c>
      <c r="G17" s="7" t="s">
        <v>77</v>
      </c>
      <c r="H17" s="7" t="s">
        <v>77</v>
      </c>
      <c r="I17" s="7" t="s">
        <v>77</v>
      </c>
      <c r="J17" s="7" t="s">
        <v>77</v>
      </c>
      <c r="K17" s="7" t="s">
        <v>77</v>
      </c>
      <c r="L17" s="7" t="s">
        <v>77</v>
      </c>
      <c r="M17" s="5" t="s">
        <v>89</v>
      </c>
      <c r="N17" s="7" t="str">
        <f t="shared" si="0"/>
        <v>Completed</v>
      </c>
    </row>
    <row r="18" spans="1:14" x14ac:dyDescent="0.3">
      <c r="A18" s="7" t="s">
        <v>28</v>
      </c>
      <c r="B18" s="7" t="s">
        <v>48</v>
      </c>
      <c r="C18" s="7" t="s">
        <v>52</v>
      </c>
      <c r="D18" s="7" t="s">
        <v>73</v>
      </c>
      <c r="E18" s="8">
        <f>OnboardingData[[#This Row],[Joining Date]]+7</f>
        <v>45710</v>
      </c>
      <c r="F18" s="7" t="str">
        <f ca="1">IF(AND(OnboardingData[[#This Row],[Status]]="Pending", TODAY()&gt;OnboardingData[[#This Row],[Expected Completion Date]]), "Overdue", "On Track")</f>
        <v>On Track</v>
      </c>
      <c r="G18" s="7" t="s">
        <v>77</v>
      </c>
      <c r="H18" s="7" t="s">
        <v>77</v>
      </c>
      <c r="I18" s="7" t="s">
        <v>77</v>
      </c>
      <c r="J18" s="7" t="s">
        <v>77</v>
      </c>
      <c r="K18" s="7" t="s">
        <v>77</v>
      </c>
      <c r="L18" s="7" t="s">
        <v>77</v>
      </c>
      <c r="M18" s="5" t="s">
        <v>89</v>
      </c>
      <c r="N18" s="7" t="str">
        <f t="shared" si="0"/>
        <v>Completed</v>
      </c>
    </row>
    <row r="19" spans="1:14" x14ac:dyDescent="0.3">
      <c r="A19" s="7" t="s">
        <v>29</v>
      </c>
      <c r="B19" s="7" t="s">
        <v>49</v>
      </c>
      <c r="C19" s="7" t="s">
        <v>53</v>
      </c>
      <c r="D19" s="7" t="s">
        <v>74</v>
      </c>
      <c r="E19" s="8">
        <f>OnboardingData[[#This Row],[Joining Date]]+7</f>
        <v>45713</v>
      </c>
      <c r="F19" s="7" t="str">
        <f ca="1">IF(AND(OnboardingData[[#This Row],[Status]]="Pending", TODAY()&gt;OnboardingData[[#This Row],[Expected Completion Date]]), "Overdue", "On Track")</f>
        <v>Overdue</v>
      </c>
      <c r="G19" s="7" t="s">
        <v>78</v>
      </c>
      <c r="H19" s="7" t="s">
        <v>78</v>
      </c>
      <c r="I19" s="7" t="s">
        <v>77</v>
      </c>
      <c r="J19" s="7" t="s">
        <v>78</v>
      </c>
      <c r="K19" s="7" t="s">
        <v>77</v>
      </c>
      <c r="L19" s="7" t="s">
        <v>77</v>
      </c>
      <c r="M19" s="5" t="s">
        <v>92</v>
      </c>
      <c r="N19" s="7" t="str">
        <f t="shared" si="0"/>
        <v>Pending</v>
      </c>
    </row>
    <row r="20" spans="1:14" x14ac:dyDescent="0.3">
      <c r="A20" s="7" t="s">
        <v>30</v>
      </c>
      <c r="B20" s="7" t="s">
        <v>50</v>
      </c>
      <c r="C20" s="7" t="s">
        <v>54</v>
      </c>
      <c r="D20" s="7" t="s">
        <v>75</v>
      </c>
      <c r="E20" s="8">
        <f>OnboardingData[[#This Row],[Joining Date]]+7</f>
        <v>45715</v>
      </c>
      <c r="F20" s="7" t="str">
        <f ca="1">IF(AND(OnboardingData[[#This Row],[Status]]="Pending", TODAY()&gt;OnboardingData[[#This Row],[Expected Completion Date]]), "Overdue", "On Track")</f>
        <v>Overdue</v>
      </c>
      <c r="G20" s="7" t="s">
        <v>77</v>
      </c>
      <c r="H20" s="7" t="s">
        <v>77</v>
      </c>
      <c r="I20" s="7" t="s">
        <v>78</v>
      </c>
      <c r="J20" s="7" t="s">
        <v>77</v>
      </c>
      <c r="K20" s="7" t="s">
        <v>77</v>
      </c>
      <c r="L20" s="7" t="s">
        <v>78</v>
      </c>
      <c r="M20" s="5" t="s">
        <v>84</v>
      </c>
      <c r="N20" s="7" t="str">
        <f t="shared" si="0"/>
        <v>Pending</v>
      </c>
    </row>
    <row r="21" spans="1:14" x14ac:dyDescent="0.3">
      <c r="A21" s="7" t="s">
        <v>31</v>
      </c>
      <c r="B21" s="7" t="s">
        <v>51</v>
      </c>
      <c r="C21" s="7" t="s">
        <v>55</v>
      </c>
      <c r="D21" s="7" t="s">
        <v>76</v>
      </c>
      <c r="E21" s="8">
        <f>OnboardingData[[#This Row],[Joining Date]]+7</f>
        <v>45717</v>
      </c>
      <c r="F21" s="7" t="str">
        <f ca="1">IF(AND(OnboardingData[[#This Row],[Status]]="Pending", TODAY()&gt;OnboardingData[[#This Row],[Expected Completion Date]]), "Overdue", "On Track")</f>
        <v>Overdue</v>
      </c>
      <c r="G21" s="7" t="s">
        <v>78</v>
      </c>
      <c r="H21" s="7" t="s">
        <v>77</v>
      </c>
      <c r="I21" s="7" t="s">
        <v>77</v>
      </c>
      <c r="J21" s="7" t="s">
        <v>77</v>
      </c>
      <c r="K21" s="7" t="s">
        <v>77</v>
      </c>
      <c r="L21" s="7" t="s">
        <v>77</v>
      </c>
      <c r="M21" s="5" t="s">
        <v>93</v>
      </c>
      <c r="N21" s="7" t="str">
        <f t="shared" si="0"/>
        <v>Pending</v>
      </c>
    </row>
  </sheetData>
  <phoneticPr fontId="6" type="noConversion"/>
  <conditionalFormatting sqref="F2:F21 N2:N21">
    <cfRule type="containsText" dxfId="4" priority="1" operator="containsText" text="Overdue">
      <formula>NOT(ISERROR(SEARCH("Overdue",F2)))</formula>
    </cfRule>
    <cfRule type="containsText" dxfId="3" priority="2" operator="containsText" text="On Track">
      <formula>NOT(ISERROR(SEARCH("On Track",F2)))</formula>
    </cfRule>
    <cfRule type="expression" dxfId="2" priority="4">
      <formula>"[@[Delay Flag]]=""Overdue"""</formula>
    </cfRule>
  </conditionalFormatting>
  <conditionalFormatting sqref="N1:N21">
    <cfRule type="containsText" dxfId="1" priority="7" operator="containsText" text="Pending">
      <formula>NOT(ISERROR(SEARCH("Pending",N1)))</formula>
    </cfRule>
    <cfRule type="containsText" dxfId="0" priority="8" operator="containsText" text="Completed">
      <formula>NOT(ISERROR(SEARCH("Completed",N1)))</formula>
    </cfRule>
  </conditionalFormatting>
  <dataValidations disablePrompts="1" count="1">
    <dataValidation type="list" allowBlank="1" showInputMessage="1" showErrorMessage="1" sqref="E2:L21" xr:uid="{1846AB04-8488-4DB7-94AB-0A7912CAF93E}">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Dashboard</vt:lpstr>
      <vt:lpstr>OnboardingData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Polishetwar Sravani</dc:creator>
  <cp:lastModifiedBy>Elina Acharya</cp:lastModifiedBy>
  <dcterms:created xsi:type="dcterms:W3CDTF">2025-11-11T05:26:56Z</dcterms:created>
  <dcterms:modified xsi:type="dcterms:W3CDTF">2025-11-11T08:47:36Z</dcterms:modified>
</cp:coreProperties>
</file>